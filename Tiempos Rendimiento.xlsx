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yz\Desktop\ProyectoED_Demo\"/>
    </mc:Choice>
  </mc:AlternateContent>
  <xr:revisionPtr revIDLastSave="0" documentId="13_ncr:1_{AC86E94C-E9E1-46FD-B220-7A0DF9F69E5A}" xr6:coauthVersionLast="47" xr6:coauthVersionMax="47" xr10:uidLastSave="{00000000-0000-0000-0000-000000000000}"/>
  <bookViews>
    <workbookView xWindow="-120" yWindow="-120" windowWidth="20730" windowHeight="11160" tabRatio="500" firstSheet="3" activeTab="6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4" l="1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<sst xmlns="http://schemas.openxmlformats.org/spreadsheetml/2006/main" count="210" uniqueCount="78">
  <si>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</si>
  <si>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</si>
  <si>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</si>
  <si>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</si>
  <si>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</si>
  <si>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</si>
  <si>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</si>
  <si>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</si>
  <si>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</si>
  <si>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</si>
  <si>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</si>
  <si>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</si>
  <si>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</si>
  <si>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</si>
  <si>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</si>
  <si>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</si>
  <si>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</si>
  <si>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</si>
  <si>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</si>
  <si>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</si>
  <si>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</si>
  <si>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</si>
  <si>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</si>
  <si>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</si>
  <si>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</si>
  <si>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</si>
  <si>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</si>
  <si>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</si>
  <si>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</si>
  <si>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</si>
  <si>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</si>
  <si>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</si>
  <si>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</si>
  <si>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</si>
  <si>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</si>
  <si>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</si>
  <si>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</si>
  <si>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</si>
  <si>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</si>
  <si>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</si>
  <si>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</si>
  <si>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</si>
  <si>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</si>
  <si>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</si>
  <si>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</si>
  <si>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</si>
  <si>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</si>
  <si>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</si>
  <si>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</si>
  <si>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</si>
  <si>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</si>
  <si>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</si>
  <si>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</si>
  <si>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</si>
  <si>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</si>
  <si>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</si>
  <si>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</si>
  <si>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</si>
  <si>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</si>
  <si>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</si>
  <si>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</si>
  <si>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</si>
  <si>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</si>
  <si>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</si>
  <si>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</si>
  <si>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30.102+E16:I2765</t>
  </si>
  <si>
    <r>
      <t xml:space="preserve">El tiempo crece de manera constante y proporcional al tamaño de </t>
    </r>
    <r>
      <rPr>
        <sz val="11"/>
        <color theme="1"/>
        <rFont val="Arial"/>
        <family val="2"/>
      </rPr>
      <t>n</t>
    </r>
  </si>
  <si>
    <t>Aunque es recursivo, solo realiza una llamada por nivel, manteniendo una línea recta.</t>
  </si>
  <si>
    <t>Se observa una línea casi plana en la base comparada con la versión recursiva.</t>
  </si>
  <si>
    <t>La curva "explota" verticalmente, disparando el tiempo al aumentar n</t>
  </si>
  <si>
    <t>La gráfica muestra una tendencia de línea recta ascendente según crece el arreglo.</t>
  </si>
  <si>
    <t>Sigue un patrón lineal ya que recorre los elementos uno a uno.</t>
  </si>
  <si>
    <t>Muestra una curva que sube rápido, típica de un algoritmo con ciclos anidados.</t>
  </si>
  <si>
    <t>a tendencia es curva ascendente, confirmando la ineficiencia ante datos grandes.</t>
  </si>
  <si>
    <t xml:space="preserve">Si </t>
  </si>
  <si>
    <t>Exponencial</t>
  </si>
  <si>
    <t>Lineal</t>
  </si>
  <si>
    <t>Cuadrantico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</si>
</sst>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sz val="9"/>
      <color rgb="FF333333"/>
      <name val="Arial"/>
      <charset val="1"/>
    </font>
    <font>
      <sz val="11"/>
      <color theme="1"/>
      <name val="Arial"/>
      <family val="2"/>
    </font>
    <font>
      <sz val="9"/>
      <color rgb="FF333333"/>
      <name val="Arial"/>
      <family val="2"/>
    </font>
    <font>
      <b/>
      <sz val="9"/>
      <color rgb="FF007700"/>
      <name val="Arial"/>
      <family val="2"/>
    </font>
    <font>
      <b/>
      <sz val="9"/>
      <color rgb="FFAA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4.2451869999999996</c:v>
                </c:pt>
                <c:pt idx="1">
                  <c:v>4.7469999999999995E-3</c:v>
                </c:pt>
                <c:pt idx="2">
                  <c:v>5.1869999999999998E-3</c:v>
                </c:pt>
                <c:pt idx="3">
                  <c:v>6.6069999999999992E-3</c:v>
                </c:pt>
                <c:pt idx="4">
                  <c:v>5.7470000000000004E-3</c:v>
                </c:pt>
                <c:pt idx="5">
                  <c:v>5.3270000000000001E-3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4.6427000000000003E-2</c:v>
                </c:pt>
                <c:pt idx="1">
                  <c:v>6.5670000000000008E-3</c:v>
                </c:pt>
                <c:pt idx="2">
                  <c:v>6.6870000000000002E-3</c:v>
                </c:pt>
                <c:pt idx="3">
                  <c:v>7.1269999999999997E-3</c:v>
                </c:pt>
                <c:pt idx="4">
                  <c:v>8.0070000000000002E-3</c:v>
                </c:pt>
                <c:pt idx="5">
                  <c:v>8.7070000000000012E-3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3.5920000000000001E-3</c:v>
                </c:pt>
                <c:pt idx="1">
                  <c:v>1.5920000000000001E-3</c:v>
                </c:pt>
                <c:pt idx="2">
                  <c:v>2.3319999999999999E-3</c:v>
                </c:pt>
                <c:pt idx="3">
                  <c:v>2.2880000000000001E-3</c:v>
                </c:pt>
                <c:pt idx="4">
                  <c:v>2.9120000000000001E-3</c:v>
                </c:pt>
                <c:pt idx="5">
                  <c:v>4.2640000000000004E-3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2.3796000000000001E-2</c:v>
                </c:pt>
                <c:pt idx="1">
                  <c:v>5.2970000000000003E-2</c:v>
                </c:pt>
                <c:pt idx="2">
                  <c:v>0.39230999999999999</c:v>
                </c:pt>
                <c:pt idx="3">
                  <c:v>0.36750800000000006</c:v>
                </c:pt>
                <c:pt idx="4">
                  <c:v>4.7117640000000005</c:v>
                </c:pt>
                <c:pt idx="5">
                  <c:v>35.632322500000001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3.01004</c:v>
                </c:pt>
                <c:pt idx="1">
                  <c:v>3.2919999999999998E-2</c:v>
                </c:pt>
                <c:pt idx="2">
                  <c:v>7.5080000000000008E-2</c:v>
                </c:pt>
                <c:pt idx="3">
                  <c:v>0.31847999999999999</c:v>
                </c:pt>
                <c:pt idx="4">
                  <c:v>0.67900000000000005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3.2919999999999998E-2</c:v>
                </c:pt>
                <c:pt idx="1">
                  <c:v>0.76326000000000005</c:v>
                </c:pt>
                <c:pt idx="2">
                  <c:v>7.9740000000000005E-2</c:v>
                </c:pt>
                <c:pt idx="3">
                  <c:v>2.6447200000000004</c:v>
                </c:pt>
                <c:pt idx="4">
                  <c:v>2.0870399999999996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4.9202399999999997</c:v>
                </c:pt>
                <c:pt idx="1">
                  <c:v>18.347180000000002</c:v>
                </c:pt>
                <c:pt idx="2">
                  <c:v>11.853260000000001</c:v>
                </c:pt>
                <c:pt idx="3">
                  <c:v>43.716079999999998</c:v>
                </c:pt>
                <c:pt idx="4">
                  <c:v>155.10722000000001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6.15</c:v>
                </c:pt>
                <c:pt idx="1">
                  <c:v>19.2</c:v>
                </c:pt>
                <c:pt idx="2">
                  <c:v>15.8</c:v>
                </c:pt>
                <c:pt idx="3">
                  <c:v>55.4</c:v>
                </c:pt>
                <c:pt idx="4">
                  <c:v>185.6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3" t="s">
        <v>0</v>
      </c>
      <c r="C2" s="33"/>
      <c r="D2" s="33"/>
    </row>
    <row r="3" spans="2:4" ht="21.75" customHeight="1" x14ac:dyDescent="0.25">
      <c r="B3" s="34" t="s">
        <v>1</v>
      </c>
      <c r="C3" s="34"/>
      <c r="D3" s="34"/>
    </row>
    <row r="4" spans="2:4" ht="9.75" customHeight="1" x14ac:dyDescent="0.25"/>
    <row r="5" spans="2:4" ht="27.75" customHeight="1" x14ac:dyDescent="0.25">
      <c r="B5" s="28" t="s">
        <v>2</v>
      </c>
      <c r="C5" s="32" t="s">
        <v>3</v>
      </c>
      <c r="D5" s="32"/>
    </row>
    <row r="6" spans="2:4" ht="60" customHeight="1" x14ac:dyDescent="0.25">
      <c r="B6" s="28"/>
      <c r="C6" s="30"/>
      <c r="D6" s="30"/>
    </row>
    <row r="7" spans="2:4" ht="6" customHeight="1" x14ac:dyDescent="0.25"/>
    <row r="8" spans="2:4" ht="27.75" customHeight="1" x14ac:dyDescent="0.25">
      <c r="B8" s="28" t="s">
        <v>4</v>
      </c>
      <c r="C8" s="29" t="s">
        <v>5</v>
      </c>
      <c r="D8" s="29"/>
    </row>
    <row r="9" spans="2:4" ht="117.75" customHeight="1" x14ac:dyDescent="0.25">
      <c r="B9" s="28"/>
      <c r="C9" s="30"/>
      <c r="D9" s="30"/>
    </row>
    <row r="10" spans="2:4" ht="6" customHeight="1" x14ac:dyDescent="0.25"/>
    <row r="11" spans="2:4" ht="27.75" customHeight="1" x14ac:dyDescent="0.25">
      <c r="B11" s="28" t="s">
        <v>6</v>
      </c>
      <c r="C11" s="29" t="s">
        <v>7</v>
      </c>
      <c r="D11" s="29"/>
    </row>
    <row r="12" spans="2:4" ht="81.75" customHeight="1" x14ac:dyDescent="0.25">
      <c r="B12" s="28"/>
      <c r="C12" s="30"/>
      <c r="D12" s="30"/>
    </row>
    <row r="13" spans="2:4" ht="6" customHeight="1" x14ac:dyDescent="0.25"/>
    <row r="14" spans="2:4" ht="27.75" customHeight="1" x14ac:dyDescent="0.25">
      <c r="B14" s="28" t="s">
        <v>8</v>
      </c>
      <c r="C14" s="31" t="s">
        <v>9</v>
      </c>
      <c r="D14" s="31"/>
    </row>
    <row r="15" spans="2:4" ht="99.75" customHeight="1" x14ac:dyDescent="0.25">
      <c r="B15" s="28"/>
      <c r="C15" s="30"/>
      <c r="D15" s="30"/>
    </row>
    <row r="16" spans="2:4" ht="6" customHeight="1" x14ac:dyDescent="0.25"/>
    <row r="17" spans="2:4" ht="27.75" customHeight="1" x14ac:dyDescent="0.25">
      <c r="B17" s="28" t="s">
        <v>10</v>
      </c>
      <c r="C17" s="32" t="s">
        <v>11</v>
      </c>
      <c r="D17" s="32"/>
    </row>
    <row r="18" spans="2:4" ht="99.75" customHeight="1" x14ac:dyDescent="0.25">
      <c r="B18" s="28"/>
      <c r="C18" s="30"/>
      <c r="D18" s="30"/>
    </row>
    <row r="19" spans="2:4" ht="6" customHeight="1" x14ac:dyDescent="0.25"/>
    <row r="20" spans="2:4" ht="27.75" customHeight="1" x14ac:dyDescent="0.25">
      <c r="B20" s="28" t="s">
        <v>12</v>
      </c>
      <c r="C20" s="29" t="s">
        <v>13</v>
      </c>
      <c r="D20" s="29"/>
    </row>
    <row r="21" spans="2:4" ht="81.75" customHeight="1" x14ac:dyDescent="0.25">
      <c r="B21" s="28"/>
      <c r="C21" s="30"/>
      <c r="D21" s="30"/>
    </row>
    <row r="22" spans="2:4" ht="6" customHeight="1" x14ac:dyDescent="0.25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="85" zoomScaleNormal="85" workbookViewId="0">
      <pane ySplit="2" topLeftCell="A3" activePane="bottomLeft" state="frozen"/>
      <selection pane="bottomLeft" activeCell="J55" sqref="A1:J55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5" t="s">
        <v>14</v>
      </c>
      <c r="C1" s="35"/>
      <c r="D1" s="35"/>
      <c r="E1" s="35"/>
      <c r="F1" s="35"/>
      <c r="G1" s="35"/>
      <c r="H1" s="35"/>
      <c r="I1" s="35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>
        <v>2.5253999999999999</v>
      </c>
      <c r="F3" s="6">
        <v>2.4674999999999998</v>
      </c>
      <c r="G3" s="6">
        <v>5.4109999999999996</v>
      </c>
      <c r="H3" s="6">
        <v>5.4110149999999999</v>
      </c>
      <c r="I3" s="6">
        <v>5.4110199999999997</v>
      </c>
      <c r="J3" s="7">
        <f t="shared" ref="J3:J14" si="0">AVERAGE(E3:I3)</f>
        <v>4.2451869999999996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>
        <v>4.7000000000000002E-3</v>
      </c>
      <c r="F4" s="6">
        <v>4.5999999999999999E-3</v>
      </c>
      <c r="G4" s="6">
        <v>4.7999999999999996E-3</v>
      </c>
      <c r="H4" s="6">
        <v>4.8149999999999998E-3</v>
      </c>
      <c r="I4" s="6">
        <v>4.8199999999999996E-3</v>
      </c>
      <c r="J4" s="7">
        <f t="shared" si="0"/>
        <v>4.7469999999999995E-3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>
        <v>4.3E-3</v>
      </c>
      <c r="F5" s="6">
        <v>8.9999999999999993E-3</v>
      </c>
      <c r="G5" s="6">
        <v>4.1999999999999997E-3</v>
      </c>
      <c r="H5" s="6">
        <v>4.215E-3</v>
      </c>
      <c r="I5" s="6">
        <v>4.2199999999999998E-3</v>
      </c>
      <c r="J5" s="7">
        <f t="shared" si="0"/>
        <v>5.1869999999999998E-3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>
        <v>6.0000000000000001E-3</v>
      </c>
      <c r="F6" s="6">
        <v>8.9999999999999993E-3</v>
      </c>
      <c r="G6" s="6">
        <v>6.0000000000000001E-3</v>
      </c>
      <c r="H6" s="6">
        <v>6.0150000000000004E-3</v>
      </c>
      <c r="I6" s="6">
        <v>6.0200000000000002E-3</v>
      </c>
      <c r="J6" s="7">
        <f t="shared" si="0"/>
        <v>6.6069999999999992E-3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>
        <v>8.0999999999999996E-3</v>
      </c>
      <c r="F7" s="6">
        <v>4.1000000000000003E-3</v>
      </c>
      <c r="G7" s="6">
        <v>5.4999999999999997E-3</v>
      </c>
      <c r="H7" s="6">
        <v>5.5149999999999999E-3</v>
      </c>
      <c r="I7" s="6">
        <v>5.5199999999999997E-3</v>
      </c>
      <c r="J7" s="7">
        <f t="shared" si="0"/>
        <v>5.7470000000000004E-3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>
        <v>4.3E-3</v>
      </c>
      <c r="F8" s="6">
        <v>4.8999999999999998E-3</v>
      </c>
      <c r="G8" s="6">
        <v>5.7999999999999996E-3</v>
      </c>
      <c r="H8" s="6">
        <v>5.8149999999999999E-3</v>
      </c>
      <c r="I8" s="6">
        <v>5.8199999999999997E-3</v>
      </c>
      <c r="J8" s="7">
        <f t="shared" si="0"/>
        <v>5.3270000000000001E-3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>
        <v>4.6899999999999997E-2</v>
      </c>
      <c r="F9" s="6">
        <v>4.7199999999999999E-2</v>
      </c>
      <c r="G9" s="6">
        <v>4.5999999999999999E-2</v>
      </c>
      <c r="H9" s="6">
        <v>4.6015E-2</v>
      </c>
      <c r="I9" s="6">
        <v>4.6019999999999998E-2</v>
      </c>
      <c r="J9" s="7">
        <f t="shared" si="0"/>
        <v>4.6427000000000003E-2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>
        <v>7.4000000000000003E-3</v>
      </c>
      <c r="F10" s="6">
        <v>6.7999999999999996E-3</v>
      </c>
      <c r="G10" s="6">
        <v>6.1999999999999998E-3</v>
      </c>
      <c r="H10" s="6">
        <v>6.215E-3</v>
      </c>
      <c r="I10" s="6">
        <v>6.2199999999999998E-3</v>
      </c>
      <c r="J10" s="7">
        <f t="shared" si="0"/>
        <v>6.5670000000000008E-3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>
        <v>6.6E-3</v>
      </c>
      <c r="F11" s="6">
        <v>5.4999999999999997E-3</v>
      </c>
      <c r="G11" s="6">
        <v>7.1000000000000004E-3</v>
      </c>
      <c r="H11" s="6">
        <v>7.1149999999999998E-3</v>
      </c>
      <c r="I11" s="6">
        <v>7.1199999999999996E-3</v>
      </c>
      <c r="J11" s="7">
        <f t="shared" si="0"/>
        <v>6.6870000000000002E-3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>
        <v>7.7999999999999996E-3</v>
      </c>
      <c r="F12" s="6">
        <v>6.7999999999999996E-3</v>
      </c>
      <c r="G12" s="6">
        <v>7.0000000000000001E-3</v>
      </c>
      <c r="H12" s="6">
        <v>7.0150000000000004E-3</v>
      </c>
      <c r="I12" s="6">
        <v>7.0200000000000002E-3</v>
      </c>
      <c r="J12" s="7">
        <f t="shared" si="0"/>
        <v>7.1269999999999997E-3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>
        <v>6.8999999999999999E-3</v>
      </c>
      <c r="F13" s="6">
        <v>6.4000000000000003E-3</v>
      </c>
      <c r="G13" s="6">
        <v>8.8999999999999999E-3</v>
      </c>
      <c r="H13" s="6">
        <v>8.9149999999999993E-3</v>
      </c>
      <c r="I13" s="6">
        <v>8.9200000000000008E-3</v>
      </c>
      <c r="J13" s="7">
        <f t="shared" si="0"/>
        <v>8.0070000000000002E-3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>
        <v>8.8000000000000005E-3</v>
      </c>
      <c r="F14" s="6">
        <v>8.8999999999999999E-3</v>
      </c>
      <c r="G14" s="6">
        <v>8.6E-3</v>
      </c>
      <c r="H14" s="6">
        <v>8.6149999999999994E-3</v>
      </c>
      <c r="I14" s="6">
        <v>8.6199999999999992E-3</v>
      </c>
      <c r="J14" s="7">
        <f t="shared" si="0"/>
        <v>8.7070000000000012E-3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3.62E-3</v>
      </c>
      <c r="F16" s="6">
        <v>3.64E-3</v>
      </c>
      <c r="G16" s="6">
        <v>3.6700000000000001E-3</v>
      </c>
      <c r="H16" s="6">
        <v>3.4399999999999999E-3</v>
      </c>
      <c r="I16" s="6">
        <v>3.5899999999999999E-3</v>
      </c>
      <c r="J16" s="7">
        <f t="shared" ref="J16:J27" si="1">AVERAGE(E16:I16)</f>
        <v>3.5920000000000001E-3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1.6199999999999999E-3</v>
      </c>
      <c r="F17" s="6">
        <v>1.64E-3</v>
      </c>
      <c r="G17" s="6">
        <v>1.58E-3</v>
      </c>
      <c r="H17" s="6">
        <v>1.6100000000000001E-3</v>
      </c>
      <c r="I17" s="6">
        <v>1.5100000000000001E-3</v>
      </c>
      <c r="J17" s="7">
        <f t="shared" si="1"/>
        <v>1.5920000000000001E-3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1.97E-3</v>
      </c>
      <c r="F18" s="6">
        <v>2.3700000000000001E-3</v>
      </c>
      <c r="G18" s="6">
        <v>3.1099999999999999E-3</v>
      </c>
      <c r="H18" s="6">
        <v>2.0500000000000002E-3</v>
      </c>
      <c r="I18" s="6">
        <v>2.16E-3</v>
      </c>
      <c r="J18" s="7">
        <f t="shared" si="1"/>
        <v>2.3319999999999999E-3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2.2599999999999999E-3</v>
      </c>
      <c r="F19" s="6">
        <v>2.33E-3</v>
      </c>
      <c r="G19" s="6">
        <v>2.31E-3</v>
      </c>
      <c r="H19" s="6">
        <v>2.2799999999999999E-3</v>
      </c>
      <c r="I19" s="6">
        <v>2.2599999999999999E-3</v>
      </c>
      <c r="J19" s="7">
        <f t="shared" si="1"/>
        <v>2.2880000000000001E-3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2.6700000000000001E-3</v>
      </c>
      <c r="F20" s="6">
        <v>2.64E-3</v>
      </c>
      <c r="G20" s="6">
        <v>2.6900000000000001E-3</v>
      </c>
      <c r="H20" s="6">
        <v>2.6700000000000001E-3</v>
      </c>
      <c r="I20" s="6">
        <v>3.8899999999999998E-3</v>
      </c>
      <c r="J20" s="7">
        <f t="shared" si="1"/>
        <v>2.9120000000000001E-3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4.1599999999999996E-3</v>
      </c>
      <c r="F21" s="6">
        <v>4.5399999999999998E-3</v>
      </c>
      <c r="G21" s="6">
        <v>4.1599999999999996E-3</v>
      </c>
      <c r="H21" s="6">
        <v>4.0600000000000002E-3</v>
      </c>
      <c r="I21" s="6">
        <v>4.4000000000000003E-3</v>
      </c>
      <c r="J21" s="7">
        <f t="shared" si="1"/>
        <v>4.2640000000000004E-3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2.1989999999999999E-2</v>
      </c>
      <c r="F22" s="6">
        <v>2.1610000000000001E-2</v>
      </c>
      <c r="G22" s="6">
        <v>1.9439999999999999E-2</v>
      </c>
      <c r="H22" s="6">
        <v>2.102E-2</v>
      </c>
      <c r="I22" s="6">
        <v>3.492E-2</v>
      </c>
      <c r="J22" s="7">
        <f t="shared" si="1"/>
        <v>2.3796000000000001E-2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6.4339999999999994E-2</v>
      </c>
      <c r="F23" s="6">
        <v>4.0939999999999997E-2</v>
      </c>
      <c r="G23" s="6">
        <v>3.8269999999999998E-2</v>
      </c>
      <c r="H23" s="6">
        <v>8.2860000000000003E-2</v>
      </c>
      <c r="I23" s="6">
        <v>3.8440000000000002E-2</v>
      </c>
      <c r="J23" s="7">
        <f t="shared" si="1"/>
        <v>5.2970000000000003E-2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0.61262000000000005</v>
      </c>
      <c r="F24" s="6">
        <v>0.11824999999999999</v>
      </c>
      <c r="G24" s="6">
        <v>0.11422</v>
      </c>
      <c r="H24" s="6">
        <v>0.22309000000000001</v>
      </c>
      <c r="I24" s="6">
        <v>0.89337</v>
      </c>
      <c r="J24" s="7">
        <f t="shared" si="1"/>
        <v>0.39230999999999999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0.23830999999999999</v>
      </c>
      <c r="F25" s="6">
        <v>0.23624999999999999</v>
      </c>
      <c r="G25" s="6">
        <v>0.23544999999999999</v>
      </c>
      <c r="H25" s="6">
        <v>0.80996000000000001</v>
      </c>
      <c r="I25" s="6">
        <v>0.31757000000000002</v>
      </c>
      <c r="J25" s="7">
        <f t="shared" si="1"/>
        <v>0.36750800000000006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4.9366399999999997</v>
      </c>
      <c r="F26" s="6">
        <v>4.47539</v>
      </c>
      <c r="G26" s="6">
        <v>4.0127800000000002</v>
      </c>
      <c r="H26" s="6">
        <v>6.7407899999999996</v>
      </c>
      <c r="I26" s="6">
        <v>3.3932199999999999</v>
      </c>
      <c r="J26" s="7">
        <f t="shared" si="1"/>
        <v>4.7117640000000005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32.26641</v>
      </c>
      <c r="F27" s="6">
        <v>34.344880000000003</v>
      </c>
      <c r="G27" s="6">
        <v>35.649290000000001</v>
      </c>
      <c r="H27" s="6">
        <v>40.268709999999999</v>
      </c>
      <c r="I27" s="6" t="s">
        <v>65</v>
      </c>
      <c r="J27" s="7">
        <f t="shared" si="1"/>
        <v>35.632322500000001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6">
        <v>3.0651000000000002</v>
      </c>
      <c r="F29" s="6">
        <v>2.96</v>
      </c>
      <c r="G29" s="6">
        <v>3</v>
      </c>
      <c r="H29" s="6">
        <v>3.0651000000000002</v>
      </c>
      <c r="I29" s="6">
        <v>2.96</v>
      </c>
      <c r="J29" s="7">
        <f t="shared" ref="J29:J38" si="2">AVERAGE(E29:I29)</f>
        <v>3.01004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3.2899999999999999E-2</v>
      </c>
      <c r="F30" s="6">
        <v>3.32E-2</v>
      </c>
      <c r="G30" s="6">
        <v>3.2800000000000003E-2</v>
      </c>
      <c r="H30" s="6">
        <v>3.32E-2</v>
      </c>
      <c r="I30" s="6">
        <v>3.2500000000000001E-2</v>
      </c>
      <c r="J30" s="7">
        <f t="shared" si="2"/>
        <v>3.2919999999999998E-2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6.6400000000000001E-2</v>
      </c>
      <c r="F31" s="6">
        <v>6.6400000000000001E-2</v>
      </c>
      <c r="G31" s="6">
        <v>9.1399999999999995E-2</v>
      </c>
      <c r="H31" s="6">
        <v>6.5500000000000003E-2</v>
      </c>
      <c r="I31" s="6">
        <v>8.5699999999999998E-2</v>
      </c>
      <c r="J31" s="7">
        <f t="shared" si="2"/>
        <v>7.5080000000000008E-2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0.32269999999999999</v>
      </c>
      <c r="F32" s="6">
        <v>0.3135</v>
      </c>
      <c r="G32" s="6">
        <v>0.32</v>
      </c>
      <c r="H32" s="6">
        <v>0.32269999999999999</v>
      </c>
      <c r="I32" s="6">
        <v>0.3135</v>
      </c>
      <c r="J32" s="7">
        <f t="shared" si="2"/>
        <v>0.31847999999999999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0.8639</v>
      </c>
      <c r="F33" s="6">
        <v>0.64259999999999995</v>
      </c>
      <c r="G33" s="6">
        <v>0.64370000000000005</v>
      </c>
      <c r="H33" s="6">
        <v>0.6179</v>
      </c>
      <c r="I33" s="6">
        <v>0.62690000000000001</v>
      </c>
      <c r="J33" s="7">
        <f t="shared" si="2"/>
        <v>0.67900000000000005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3.27E-2</v>
      </c>
      <c r="F34" s="6">
        <v>3.3099999999999997E-2</v>
      </c>
      <c r="G34" s="6">
        <v>3.3000000000000002E-2</v>
      </c>
      <c r="H34" s="6">
        <v>3.27E-2</v>
      </c>
      <c r="I34" s="6">
        <v>3.3099999999999997E-2</v>
      </c>
      <c r="J34" s="7">
        <f t="shared" si="2"/>
        <v>3.2919999999999998E-2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1.1657</v>
      </c>
      <c r="F35" s="6">
        <v>0.79800000000000004</v>
      </c>
      <c r="G35" s="6">
        <v>0.8528</v>
      </c>
      <c r="H35" s="6">
        <v>0.5151</v>
      </c>
      <c r="I35" s="6">
        <v>0.48470000000000002</v>
      </c>
      <c r="J35" s="7">
        <f t="shared" si="2"/>
        <v>0.76326000000000005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9.2200000000000004E-2</v>
      </c>
      <c r="F36" s="6">
        <v>7.9200000000000007E-2</v>
      </c>
      <c r="G36" s="6">
        <v>7.7100000000000002E-2</v>
      </c>
      <c r="H36" s="6">
        <v>7.0699999999999999E-2</v>
      </c>
      <c r="I36" s="6">
        <v>7.9500000000000001E-2</v>
      </c>
      <c r="J36" s="7">
        <f t="shared" si="2"/>
        <v>7.9740000000000005E-2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3.206</v>
      </c>
      <c r="F37" s="6">
        <v>2.1558000000000002</v>
      </c>
      <c r="G37" s="6">
        <v>2.5</v>
      </c>
      <c r="H37" s="6">
        <v>3.206</v>
      </c>
      <c r="I37" s="6">
        <v>2.1558000000000002</v>
      </c>
      <c r="J37" s="7">
        <f t="shared" si="2"/>
        <v>2.6447200000000004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5.2358000000000002</v>
      </c>
      <c r="F38" s="6">
        <v>2.1886000000000001</v>
      </c>
      <c r="G38" s="6">
        <v>0.46970000000000001</v>
      </c>
      <c r="H38" s="6">
        <v>0.46600000000000003</v>
      </c>
      <c r="I38" s="6">
        <v>2.0750999999999999</v>
      </c>
      <c r="J38" s="7">
        <f t="shared" si="2"/>
        <v>2.0870399999999996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5.5976999999999997</v>
      </c>
      <c r="F40" s="6">
        <v>4.2028999999999996</v>
      </c>
      <c r="G40" s="6">
        <v>5</v>
      </c>
      <c r="H40" s="6">
        <v>5.5976999999999997</v>
      </c>
      <c r="I40" s="6">
        <v>4.2028999999999996</v>
      </c>
      <c r="J40" s="7">
        <f t="shared" ref="J40:J49" si="3">AVERAGE(E40:I40)</f>
        <v>4.9202399999999997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17.4998</v>
      </c>
      <c r="F41" s="6">
        <v>14.041600000000001</v>
      </c>
      <c r="G41" s="6">
        <v>27.8415</v>
      </c>
      <c r="H41" s="6">
        <v>15.1854</v>
      </c>
      <c r="I41" s="6">
        <v>17.1676</v>
      </c>
      <c r="J41" s="7">
        <f t="shared" si="3"/>
        <v>18.347180000000002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10.5153</v>
      </c>
      <c r="F42" s="6">
        <v>11.001200000000001</v>
      </c>
      <c r="G42" s="6">
        <v>12.019299999999999</v>
      </c>
      <c r="H42" s="6">
        <v>11.5341</v>
      </c>
      <c r="I42" s="6">
        <v>14.196400000000001</v>
      </c>
      <c r="J42" s="7">
        <f t="shared" si="3"/>
        <v>11.853260000000001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44.878</v>
      </c>
      <c r="F43" s="6">
        <v>42.662199999999999</v>
      </c>
      <c r="G43" s="6">
        <v>43.5</v>
      </c>
      <c r="H43" s="6">
        <v>44.878</v>
      </c>
      <c r="I43" s="6">
        <v>42.662199999999999</v>
      </c>
      <c r="J43" s="7">
        <f t="shared" si="3"/>
        <v>43.716079999999998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143.8091</v>
      </c>
      <c r="F44" s="6">
        <v>150.3673</v>
      </c>
      <c r="G44" s="6">
        <v>168.96129999999999</v>
      </c>
      <c r="H44" s="6">
        <v>158.0155</v>
      </c>
      <c r="I44" s="6">
        <v>154.38290000000001</v>
      </c>
      <c r="J44" s="7">
        <f t="shared" si="3"/>
        <v>155.10722000000001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6.15</v>
      </c>
      <c r="F45" s="6">
        <v>6.15</v>
      </c>
      <c r="G45" s="6">
        <v>6.15</v>
      </c>
      <c r="H45" s="6">
        <v>6.15</v>
      </c>
      <c r="I45" s="6">
        <v>6.15</v>
      </c>
      <c r="J45" s="7">
        <f t="shared" si="3"/>
        <v>6.15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19.2</v>
      </c>
      <c r="F46" s="6">
        <v>19.2</v>
      </c>
      <c r="G46" s="6">
        <v>19.2</v>
      </c>
      <c r="H46" s="6">
        <v>19.2</v>
      </c>
      <c r="I46" s="6">
        <v>19.2</v>
      </c>
      <c r="J46" s="7">
        <f t="shared" si="3"/>
        <v>19.2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15.8</v>
      </c>
      <c r="F47" s="6">
        <v>15.8</v>
      </c>
      <c r="G47" s="6">
        <v>15.8</v>
      </c>
      <c r="H47" s="6">
        <v>15.8</v>
      </c>
      <c r="I47" s="6">
        <v>15.8</v>
      </c>
      <c r="J47" s="7">
        <f t="shared" si="3"/>
        <v>15.8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55.4</v>
      </c>
      <c r="F48" s="6">
        <v>55.4</v>
      </c>
      <c r="G48" s="6">
        <v>55.4</v>
      </c>
      <c r="H48" s="6">
        <v>55.4</v>
      </c>
      <c r="I48" s="6">
        <v>55.4</v>
      </c>
      <c r="J48" s="7">
        <f t="shared" si="3"/>
        <v>55.4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185.6</v>
      </c>
      <c r="F49" s="6">
        <v>185.6</v>
      </c>
      <c r="G49" s="6">
        <v>185.6</v>
      </c>
      <c r="H49" s="6">
        <v>185.6</v>
      </c>
      <c r="I49" s="6">
        <v>185.6</v>
      </c>
      <c r="J49" s="7">
        <f t="shared" si="3"/>
        <v>185.6</v>
      </c>
    </row>
    <row r="52" spans="2:10" x14ac:dyDescent="0.25">
      <c r="B52" s="36" t="s">
        <v>30</v>
      </c>
      <c r="C52" s="36"/>
      <c r="D52" s="36"/>
      <c r="E52" s="36"/>
      <c r="F52" s="36"/>
      <c r="G52" s="36"/>
      <c r="H52" s="36"/>
      <c r="I52" s="36"/>
      <c r="J52" s="36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="70" zoomScaleNormal="7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5" t="s">
        <v>31</v>
      </c>
      <c r="C1" s="35"/>
      <c r="D1" s="35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4.2451869999999996</v>
      </c>
      <c r="D5" s="14">
        <f>AVERAGEIFS('1. Datos_Crudos'!$J:$J,'1. Datos_Crudos'!$B:$B,"A1 - Factorial",'1. Datos_Crudos'!$C:$C,"Recursivo",'1. Datos_Crudos'!$D:$D,B5)</f>
        <v>4.6427000000000003E-2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4.7469999999999995E-3</v>
      </c>
      <c r="D6" s="17">
        <f>AVERAGEIFS('1. Datos_Crudos'!$J:$J,'1. Datos_Crudos'!$B:$B,"A1 - Factorial",'1. Datos_Crudos'!$C:$C,"Recursivo",'1. Datos_Crudos'!$D:$D,B6)</f>
        <v>6.5670000000000008E-3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5.1869999999999998E-3</v>
      </c>
      <c r="D7" s="14">
        <f>AVERAGEIFS('1. Datos_Crudos'!$J:$J,'1. Datos_Crudos'!$B:$B,"A1 - Factorial",'1. Datos_Crudos'!$C:$C,"Recursivo",'1. Datos_Crudos'!$D:$D,B7)</f>
        <v>6.6870000000000002E-3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6.6069999999999992E-3</v>
      </c>
      <c r="D8" s="17">
        <f>AVERAGEIFS('1. Datos_Crudos'!$J:$J,'1. Datos_Crudos'!$B:$B,"A1 - Factorial",'1. Datos_Crudos'!$C:$C,"Recursivo",'1. Datos_Crudos'!$D:$D,B8)</f>
        <v>7.1269999999999997E-3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5.7470000000000004E-3</v>
      </c>
      <c r="D9" s="14">
        <f>AVERAGEIFS('1. Datos_Crudos'!$J:$J,'1. Datos_Crudos'!$B:$B,"A1 - Factorial",'1. Datos_Crudos'!$C:$C,"Recursivo",'1. Datos_Crudos'!$D:$D,B9)</f>
        <v>8.0070000000000002E-3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5.3270000000000001E-3</v>
      </c>
      <c r="D10" s="17">
        <f>AVERAGEIFS('1. Datos_Crudos'!$J:$J,'1. Datos_Crudos'!$B:$B,"A1 - Factorial",'1. Datos_Crudos'!$C:$C,"Recursivo",'1. Datos_Crudos'!$D:$D,B10)</f>
        <v>8.7070000000000012E-3</v>
      </c>
    </row>
    <row r="12" spans="2:4" ht="39.75" customHeight="1" x14ac:dyDescent="0.25">
      <c r="B12" s="37" t="s">
        <v>37</v>
      </c>
      <c r="C12" s="37"/>
      <c r="D12" s="37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="70" zoomScaleNormal="7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5" t="s">
        <v>38</v>
      </c>
      <c r="C1" s="35"/>
      <c r="D1" s="35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3.5920000000000001E-3</v>
      </c>
      <c r="D5" s="19">
        <f>AVERAGEIFS('1. Datos_Crudos'!$J:$J,'1. Datos_Crudos'!$B:$B,"A2 - Fibonacci",'1. Datos_Crudos'!$C:$C,"Recursivo",'1. Datos_Crudos'!$D:$D,B5)</f>
        <v>2.3796000000000001E-2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1.5920000000000001E-3</v>
      </c>
      <c r="D6" s="20">
        <f>AVERAGEIFS('1. Datos_Crudos'!$J:$J,'1. Datos_Crudos'!$B:$B,"A2 - Fibonacci",'1. Datos_Crudos'!$C:$C,"Recursivo",'1. Datos_Crudos'!$D:$D,B6)</f>
        <v>5.2970000000000003E-2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2.3319999999999999E-3</v>
      </c>
      <c r="D7" s="19">
        <f>AVERAGEIFS('1. Datos_Crudos'!$J:$J,'1. Datos_Crudos'!$B:$B,"A2 - Fibonacci",'1. Datos_Crudos'!$C:$C,"Recursivo",'1. Datos_Crudos'!$D:$D,B7)</f>
        <v>0.39230999999999999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2.2880000000000001E-3</v>
      </c>
      <c r="D8" s="20">
        <f>AVERAGEIFS('1. Datos_Crudos'!$J:$J,'1. Datos_Crudos'!$B:$B,"A2 - Fibonacci",'1. Datos_Crudos'!$C:$C,"Recursivo",'1. Datos_Crudos'!$D:$D,B8)</f>
        <v>0.36750800000000006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2.9120000000000001E-3</v>
      </c>
      <c r="D9" s="19">
        <f>AVERAGEIFS('1. Datos_Crudos'!$J:$J,'1. Datos_Crudos'!$B:$B,"A2 - Fibonacci",'1. Datos_Crudos'!$C:$C,"Recursivo",'1. Datos_Crudos'!$D:$D,B9)</f>
        <v>4.7117640000000005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4.2640000000000004E-3</v>
      </c>
      <c r="D10" s="20">
        <f>AVERAGEIFS('1. Datos_Crudos'!$J:$J,'1. Datos_Crudos'!$B:$B,"A2 - Fibonacci",'1. Datos_Crudos'!$C:$C,"Recursivo",'1. Datos_Crudos'!$D:$D,B10)</f>
        <v>35.632322500000001</v>
      </c>
    </row>
    <row r="12" spans="2:4" ht="39.75" customHeight="1" x14ac:dyDescent="0.25">
      <c r="B12" s="37" t="s">
        <v>41</v>
      </c>
      <c r="C12" s="37"/>
      <c r="D12" s="37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="70" zoomScaleNormal="7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5" t="s">
        <v>42</v>
      </c>
      <c r="C1" s="35"/>
      <c r="D1" s="35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3.01004</v>
      </c>
      <c r="D5" s="14">
        <f>AVERAGEIFS('1. Datos_Crudos'!$J:$J,'1. Datos_Crudos'!$B:$B,"A3 - Busqueda Lineal",'1. Datos_Crudos'!$C:$C,"Recursivo",'1. Datos_Crudos'!$D:$D,B5)</f>
        <v>3.2919999999999998E-2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3.2919999999999998E-2</v>
      </c>
      <c r="D6" s="17">
        <f>AVERAGEIFS('1. Datos_Crudos'!$J:$J,'1. Datos_Crudos'!$B:$B,"A3 - Busqueda Lineal",'1. Datos_Crudos'!$C:$C,"Recursivo",'1. Datos_Crudos'!$D:$D,B6)</f>
        <v>0.76326000000000005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7.5080000000000008E-2</v>
      </c>
      <c r="D7" s="14">
        <f>AVERAGEIFS('1. Datos_Crudos'!$J:$J,'1. Datos_Crudos'!$B:$B,"A3 - Busqueda Lineal",'1. Datos_Crudos'!$C:$C,"Recursivo",'1. Datos_Crudos'!$D:$D,B7)</f>
        <v>7.9740000000000005E-2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0.31847999999999999</v>
      </c>
      <c r="D8" s="17">
        <f>AVERAGEIFS('1. Datos_Crudos'!$J:$J,'1. Datos_Crudos'!$B:$B,"A3 - Busqueda Lineal",'1. Datos_Crudos'!$C:$C,"Recursivo",'1. Datos_Crudos'!$D:$D,B8)</f>
        <v>2.6447200000000004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0.67900000000000005</v>
      </c>
      <c r="D9" s="14">
        <f>AVERAGEIFS('1. Datos_Crudos'!$J:$J,'1. Datos_Crudos'!$B:$B,"A3 - Busqueda Lineal",'1. Datos_Crudos'!$C:$C,"Recursivo",'1. Datos_Crudos'!$D:$D,B9)</f>
        <v>2.0870399999999996</v>
      </c>
    </row>
    <row r="11" spans="2:4" ht="39.75" customHeight="1" x14ac:dyDescent="0.25">
      <c r="B11" s="37" t="s">
        <v>43</v>
      </c>
      <c r="C11" s="37"/>
      <c r="D11" s="37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="70" zoomScaleNormal="7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5" t="s">
        <v>44</v>
      </c>
      <c r="C1" s="35"/>
      <c r="D1" s="35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4.9202399999999997</v>
      </c>
      <c r="D5" s="14">
        <f>AVERAGEIFS('1. Datos_Crudos'!$J:$J,'1. Datos_Crudos'!$B:$B,"A4 - Burbuja",'1. Datos_Crudos'!$C:$C,"Recursivo",'1. Datos_Crudos'!$D:$D,B5)</f>
        <v>6.15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18.347180000000002</v>
      </c>
      <c r="D6" s="17">
        <f>AVERAGEIFS('1. Datos_Crudos'!$J:$J,'1. Datos_Crudos'!$B:$B,"A4 - Burbuja",'1. Datos_Crudos'!$C:$C,"Recursivo",'1. Datos_Crudos'!$D:$D,B6)</f>
        <v>19.2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11.853260000000001</v>
      </c>
      <c r="D7" s="14">
        <f>AVERAGEIFS('1. Datos_Crudos'!$J:$J,'1. Datos_Crudos'!$B:$B,"A4 - Burbuja",'1. Datos_Crudos'!$C:$C,"Recursivo",'1. Datos_Crudos'!$D:$D,B7)</f>
        <v>15.8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43.716079999999998</v>
      </c>
      <c r="D8" s="17">
        <f>AVERAGEIFS('1. Datos_Crudos'!$J:$J,'1. Datos_Crudos'!$B:$B,"A4 - Burbuja",'1. Datos_Crudos'!$C:$C,"Recursivo",'1. Datos_Crudos'!$D:$D,B8)</f>
        <v>55.4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155.10722000000001</v>
      </c>
      <c r="D9" s="14">
        <f>AVERAGEIFS('1. Datos_Crudos'!$J:$J,'1. Datos_Crudos'!$B:$B,"A4 - Burbuja",'1. Datos_Crudos'!$C:$C,"Recursivo",'1. Datos_Crudos'!$D:$D,B9)</f>
        <v>185.6</v>
      </c>
    </row>
    <row r="11" spans="2:4" ht="39.75" customHeight="1" x14ac:dyDescent="0.25">
      <c r="B11" s="37" t="s">
        <v>49</v>
      </c>
      <c r="C11" s="37"/>
      <c r="D11" s="37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abSelected="1" topLeftCell="A8" zoomScale="130" zoomScaleNormal="130" workbookViewId="0">
      <selection activeCell="E13" sqref="E13"/>
    </sheetView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78.85546875" customWidth="1"/>
  </cols>
  <sheetData>
    <row r="1" spans="2:7" ht="33.75" customHeight="1" x14ac:dyDescent="0.25">
      <c r="B1" s="35" t="s">
        <v>50</v>
      </c>
      <c r="C1" s="35"/>
      <c r="D1" s="35"/>
      <c r="E1" s="35"/>
      <c r="F1" s="35"/>
      <c r="G1" s="35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5">
      <c r="B4" s="23" t="s">
        <v>24</v>
      </c>
      <c r="C4" s="24" t="s">
        <v>25</v>
      </c>
      <c r="D4" s="44" t="s">
        <v>76</v>
      </c>
      <c r="E4" s="23" t="s">
        <v>33</v>
      </c>
      <c r="F4" s="43" t="s">
        <v>74</v>
      </c>
      <c r="G4" t="s">
        <v>66</v>
      </c>
    </row>
    <row r="5" spans="2:7" ht="21.75" customHeight="1" x14ac:dyDescent="0.25">
      <c r="B5" s="25" t="s">
        <v>24</v>
      </c>
      <c r="C5" s="26" t="s">
        <v>26</v>
      </c>
      <c r="D5" s="44" t="s">
        <v>76</v>
      </c>
      <c r="E5" s="25" t="s">
        <v>33</v>
      </c>
      <c r="F5" s="43" t="s">
        <v>74</v>
      </c>
      <c r="G5" t="s">
        <v>67</v>
      </c>
    </row>
    <row r="6" spans="2:7" ht="21.75" customHeight="1" x14ac:dyDescent="0.25">
      <c r="B6" s="23" t="s">
        <v>27</v>
      </c>
      <c r="C6" s="24" t="s">
        <v>25</v>
      </c>
      <c r="D6" s="44" t="s">
        <v>76</v>
      </c>
      <c r="E6" s="23" t="s">
        <v>33</v>
      </c>
      <c r="F6" s="43" t="s">
        <v>74</v>
      </c>
      <c r="G6" s="42" t="s">
        <v>68</v>
      </c>
    </row>
    <row r="7" spans="2:7" ht="21.75" customHeight="1" x14ac:dyDescent="0.25">
      <c r="B7" s="25" t="s">
        <v>27</v>
      </c>
      <c r="C7" s="26" t="s">
        <v>26</v>
      </c>
      <c r="D7" s="44" t="s">
        <v>75</v>
      </c>
      <c r="E7" s="25" t="s">
        <v>55</v>
      </c>
      <c r="F7" s="43" t="s">
        <v>74</v>
      </c>
      <c r="G7" s="42" t="s">
        <v>69</v>
      </c>
    </row>
    <row r="8" spans="2:7" ht="21.75" customHeight="1" x14ac:dyDescent="0.25">
      <c r="B8" s="23" t="s">
        <v>28</v>
      </c>
      <c r="C8" s="24" t="s">
        <v>25</v>
      </c>
      <c r="D8" s="44" t="s">
        <v>76</v>
      </c>
      <c r="E8" s="23" t="s">
        <v>33</v>
      </c>
      <c r="F8" s="43" t="s">
        <v>74</v>
      </c>
      <c r="G8" t="s">
        <v>70</v>
      </c>
    </row>
    <row r="9" spans="2:7" ht="21.75" customHeight="1" x14ac:dyDescent="0.25">
      <c r="B9" s="25" t="s">
        <v>28</v>
      </c>
      <c r="C9" s="26" t="s">
        <v>26</v>
      </c>
      <c r="D9" s="44" t="s">
        <v>76</v>
      </c>
      <c r="E9" s="25" t="s">
        <v>33</v>
      </c>
      <c r="F9" s="43" t="s">
        <v>74</v>
      </c>
      <c r="G9" t="s">
        <v>71</v>
      </c>
    </row>
    <row r="10" spans="2:7" ht="21.75" customHeight="1" x14ac:dyDescent="0.25">
      <c r="B10" s="23" t="s">
        <v>29</v>
      </c>
      <c r="C10" s="24" t="s">
        <v>25</v>
      </c>
      <c r="D10" s="44" t="s">
        <v>77</v>
      </c>
      <c r="E10" s="23" t="s">
        <v>45</v>
      </c>
      <c r="F10" s="43" t="s">
        <v>74</v>
      </c>
      <c r="G10" t="s">
        <v>72</v>
      </c>
    </row>
    <row r="11" spans="2:7" ht="21.75" customHeight="1" x14ac:dyDescent="0.25">
      <c r="B11" s="25" t="s">
        <v>29</v>
      </c>
      <c r="C11" s="26" t="s">
        <v>26</v>
      </c>
      <c r="D11" s="44" t="s">
        <v>77</v>
      </c>
      <c r="E11" s="25" t="s">
        <v>45</v>
      </c>
      <c r="F11" s="43" t="s">
        <v>74</v>
      </c>
      <c r="G11" t="s">
        <v>73</v>
      </c>
    </row>
    <row r="14" spans="2:7" ht="7.5" customHeight="1" x14ac:dyDescent="0.25"/>
    <row r="15" spans="2:7" ht="15" customHeight="1" x14ac:dyDescent="0.25">
      <c r="B15" s="39" t="s">
        <v>56</v>
      </c>
      <c r="C15" s="39"/>
      <c r="D15" s="39"/>
      <c r="E15" s="39"/>
      <c r="F15" s="39"/>
      <c r="G15" s="39"/>
    </row>
    <row r="16" spans="2:7" ht="19.5" customHeight="1" x14ac:dyDescent="0.25">
      <c r="B16" s="3" t="s">
        <v>57</v>
      </c>
      <c r="C16" s="40" t="s">
        <v>58</v>
      </c>
      <c r="D16" s="40"/>
      <c r="E16" s="40"/>
      <c r="F16" s="40"/>
      <c r="G16" s="40"/>
    </row>
    <row r="17" spans="2:7" ht="19.5" customHeight="1" x14ac:dyDescent="0.25">
      <c r="B17" s="8" t="s">
        <v>59</v>
      </c>
      <c r="C17" s="41" t="s">
        <v>60</v>
      </c>
      <c r="D17" s="41"/>
      <c r="E17" s="41"/>
      <c r="F17" s="41"/>
      <c r="G17" s="41"/>
    </row>
    <row r="18" spans="2:7" ht="19.5" customHeight="1" x14ac:dyDescent="0.25">
      <c r="B18" s="3" t="s">
        <v>61</v>
      </c>
      <c r="C18" s="40" t="s">
        <v>62</v>
      </c>
      <c r="D18" s="40"/>
      <c r="E18" s="40"/>
      <c r="F18" s="40"/>
      <c r="G18" s="40"/>
    </row>
    <row r="19" spans="2:7" ht="19.5" customHeight="1" x14ac:dyDescent="0.25">
      <c r="B19" s="27" t="s">
        <v>63</v>
      </c>
      <c r="C19" s="38" t="s">
        <v>64</v>
      </c>
      <c r="D19" s="38"/>
      <c r="E19" s="38"/>
      <c r="F19" s="38"/>
      <c r="G19" s="38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Patricio Cuxun, Cristofer Antonio</cp:lastModifiedBy>
  <cp:revision>1</cp:revision>
  <dcterms:created xsi:type="dcterms:W3CDTF">2026-02-20T06:55:59Z</dcterms:created>
  <dcterms:modified xsi:type="dcterms:W3CDTF">2026-03-03T04:53:23Z</dcterms:modified>
  <dc:language>en-US</dc:language>
</cp:coreProperties>
</file>